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2025 Bud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<sst xmlns="http://schemas.openxmlformats.org/spreadsheetml/2006/main" count="39" uniqueCount="39">
  <si>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This workbook shows the driver-based logic used to construct the FY2025 budget (price × volume, rate × hours, etc.). Actual results were generated in Python and loaded into Power BI for the variance analysis dashboard.</t>
  </si>
  <si>
    <t xml:space="preserve">Month  (EUR)</t>
  </si>
  <si>
    <t xml:space="preserve">January</t>
  </si>
  <si>
    <t xml:space="preserve">February </t>
  </si>
  <si>
    <t xml:space="preserve">March </t>
  </si>
  <si>
    <t xml:space="preserve">April </t>
  </si>
  <si>
    <t xml:space="preserve"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</si>
  <si>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</si>
  <si>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</si>
  <si>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</si>
  <si>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</si>
  <si>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</si>
  <si>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</si>
  <si>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</si>
  <si>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Total</t>
  </si>
  <si>
    <t xml:space="preserve">Revenue</t>
  </si>
  <si>
    <t xml:space="preserve">COGS</t>
  </si>
  <si>
    <t xml:space="preserve">Gross Profit </t>
  </si>
  <si>
    <t xml:space="preserve">Gross Margin</t>
  </si>
  <si>
    <t xml:space="preserve">Raw Materials</t>
  </si>
  <si>
    <t xml:space="preserve">Direct Labor – Regular</t>
  </si>
  <si>
    <t xml:space="preserve">Direct Labor – Overtime</t>
  </si>
  <si>
    <t xml:space="preserve">Inbound Freight</t>
  </si>
  <si>
    <t xml:space="preserve">Repairs &amp; Maintenance</t>
  </si>
  <si>
    <t xml:space="preserve">Key Assumptions &amp; Drivers</t>
  </si>
  <si>
    <t xml:space="preserve">Selling Price  (EUR/Unit)</t>
  </si>
  <si>
    <t xml:space="preserve">Sales Volume (Unit)</t>
  </si>
  <si>
    <t xml:space="preserve">Raw Materials Price (EUR/Ton)</t>
  </si>
  <si>
    <t xml:space="preserve">Quantity per Unit (Ton/Unit)</t>
  </si>
  <si>
    <t xml:space="preserve">Raw Materials Consumption (Tons)</t>
  </si>
  <si>
    <t xml:space="preserve">Truck Capacity (Ton/Truck)</t>
  </si>
  <si>
    <t xml:space="preserve">Inbound Freight Rate (EUR/Truck)</t>
  </si>
  <si>
    <t xml:space="preserve">Truckload Count</t>
  </si>
  <si>
    <t xml:space="preserve">Number of Workers</t>
  </si>
  <si>
    <t xml:space="preserve">Regular Rate (EUR/Hour)</t>
  </si>
  <si>
    <t xml:space="preserve">Overtime Rate (EUR/Hour)</t>
  </si>
  <si>
    <t xml:space="preserve">Hours per Unit</t>
  </si>
  <si>
    <t xml:space="preserve">Regular Hours (Fixed Monthly Capacity)</t>
  </si>
  <si>
    <t xml:space="preserve">Overtime Hours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</si>
</sst>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9" activeCellId="0" sqref="A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14"/>
    <col collapsed="false" customWidth="true" hidden="false" outlineLevel="0" max="14" min="2" style="1" width="13.12"/>
    <col collapsed="false" customWidth="false" hidden="false" outlineLevel="0" max="16384" min="15" style="1" width="11.53"/>
  </cols>
  <sheetData>
    <row r="1" s="3" customFormat="true" ht="27.7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3" customFormat="true" ht="12.8" hidden="false" customHeight="false" outlineLevel="0" collapsed="false"/>
    <row r="3" s="5" customFormat="true" ht="12.8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customFormat="false" ht="12.8" hidden="false" customHeight="false" outlineLevel="0" collapsed="false">
      <c r="A4" s="6" t="s">
        <v>15</v>
      </c>
      <c r="B4" s="6" t="n">
        <f aca="false">$B$18*B19</f>
        <v>4200000</v>
      </c>
      <c r="C4" s="6" t="n">
        <f aca="false">$B$18*C19</f>
        <v>5500000</v>
      </c>
      <c r="D4" s="6" t="n">
        <f aca="false">$B$18*D19</f>
        <v>5600000</v>
      </c>
      <c r="E4" s="6" t="n">
        <f aca="false">$B$18*E19</f>
        <v>6000000</v>
      </c>
      <c r="F4" s="6" t="n">
        <f aca="false">$B$18*F19</f>
        <v>6300000</v>
      </c>
      <c r="G4" s="6" t="n">
        <f aca="false">$B$18*G19</f>
        <v>6500000</v>
      </c>
      <c r="H4" s="6" t="n">
        <f aca="false">$B$18*H19</f>
        <v>6700000</v>
      </c>
      <c r="I4" s="6" t="n">
        <f aca="false">$B$18*I19</f>
        <v>4200000</v>
      </c>
      <c r="J4" s="6" t="n">
        <f aca="false">$B$18*J19</f>
        <v>7100000</v>
      </c>
      <c r="K4" s="6" t="n">
        <f aca="false">$B$18*K19</f>
        <v>7000000</v>
      </c>
      <c r="L4" s="6" t="n">
        <f aca="false">$B$18*L19</f>
        <v>7500000</v>
      </c>
      <c r="M4" s="6" t="n">
        <f aca="false">$B$18*M19</f>
        <v>4000000</v>
      </c>
      <c r="N4" s="6" t="n">
        <f aca="false">SUM(B4:M4)</f>
        <v>70600000</v>
      </c>
    </row>
    <row r="5" customFormat="false" ht="12.8" hidden="false" customHeight="false" outlineLevel="0" collapsed="false">
      <c r="A5" s="6" t="s">
        <v>16</v>
      </c>
      <c r="B5" s="6" t="n">
        <f aca="false">SUM(B9:B13)</f>
        <v>3134100</v>
      </c>
      <c r="C5" s="6" t="n">
        <f aca="false">SUM(C9:C13)</f>
        <v>3888100</v>
      </c>
      <c r="D5" s="6" t="n">
        <f aca="false">SUM(D9:D13)</f>
        <v>3946100</v>
      </c>
      <c r="E5" s="6" t="n">
        <f aca="false">SUM(E9:E13)</f>
        <v>4178100</v>
      </c>
      <c r="F5" s="6" t="n">
        <f aca="false">SUM(F9:F13)</f>
        <v>4352100</v>
      </c>
      <c r="G5" s="6" t="n">
        <f aca="false">SUM(G9:G13)</f>
        <v>4475180</v>
      </c>
      <c r="H5" s="6" t="n">
        <f aca="false">SUM(H9:H13)</f>
        <v>4615180</v>
      </c>
      <c r="I5" s="6" t="n">
        <f aca="false">SUM(I9:I13)</f>
        <v>3188100</v>
      </c>
      <c r="J5" s="6" t="n">
        <f aca="false">SUM(J9:J13)</f>
        <v>4895180</v>
      </c>
      <c r="K5" s="6" t="n">
        <f aca="false">SUM(K9:K13)</f>
        <v>4825180</v>
      </c>
      <c r="L5" s="6" t="n">
        <f aca="false">SUM(L9:L13)</f>
        <v>5175180</v>
      </c>
      <c r="M5" s="6" t="n">
        <f aca="false">SUM(M9:M13)</f>
        <v>3018100</v>
      </c>
      <c r="N5" s="6" t="n">
        <f aca="false">SUM(N9:N13)</f>
        <v>49690600</v>
      </c>
    </row>
    <row r="6" customFormat="false" ht="12.8" hidden="false" customHeight="false" outlineLevel="0" collapsed="false">
      <c r="A6" s="6" t="s">
        <v>17</v>
      </c>
      <c r="B6" s="6" t="n">
        <f aca="false">B4-B5</f>
        <v>1065900</v>
      </c>
      <c r="C6" s="6" t="n">
        <f aca="false">C4-C5</f>
        <v>1611900</v>
      </c>
      <c r="D6" s="6" t="n">
        <f aca="false">D4-D5</f>
        <v>1653900</v>
      </c>
      <c r="E6" s="6" t="n">
        <f aca="false">E4-E5</f>
        <v>1821900</v>
      </c>
      <c r="F6" s="6" t="n">
        <f aca="false">F4-F5</f>
        <v>1947900</v>
      </c>
      <c r="G6" s="6" t="n">
        <f aca="false">G4-G5</f>
        <v>2024820</v>
      </c>
      <c r="H6" s="6" t="n">
        <f aca="false">H4-H5</f>
        <v>2084820</v>
      </c>
      <c r="I6" s="6" t="n">
        <f aca="false">I4-I5</f>
        <v>1011900</v>
      </c>
      <c r="J6" s="6" t="n">
        <f aca="false">J4-J5</f>
        <v>2204820</v>
      </c>
      <c r="K6" s="6" t="n">
        <f aca="false">K4-K5</f>
        <v>2174820</v>
      </c>
      <c r="L6" s="6" t="n">
        <f aca="false">L4-L5</f>
        <v>2324820</v>
      </c>
      <c r="M6" s="6" t="n">
        <f aca="false">M4-M5</f>
        <v>981900</v>
      </c>
      <c r="N6" s="6" t="n">
        <f aca="false">N4-N5</f>
        <v>20909400</v>
      </c>
    </row>
    <row r="7" customFormat="false" ht="12.8" hidden="false" customHeight="false" outlineLevel="0" collapsed="false">
      <c r="A7" s="6" t="s">
        <v>18</v>
      </c>
      <c r="B7" s="7" t="n">
        <f aca="false">B6/B4</f>
        <v>0.253785714285714</v>
      </c>
      <c r="C7" s="7" t="n">
        <f aca="false">C6/C4</f>
        <v>0.293072727272727</v>
      </c>
      <c r="D7" s="7" t="n">
        <f aca="false">D6/D4</f>
        <v>0.295339285714286</v>
      </c>
      <c r="E7" s="7" t="n">
        <f aca="false">E6/E4</f>
        <v>0.30365</v>
      </c>
      <c r="F7" s="7" t="n">
        <f aca="false">F6/F4</f>
        <v>0.309190476190476</v>
      </c>
      <c r="G7" s="7" t="n">
        <f aca="false">G6/G4</f>
        <v>0.311510769230769</v>
      </c>
      <c r="H7" s="7" t="n">
        <f aca="false">H6/H4</f>
        <v>0.311167164179105</v>
      </c>
      <c r="I7" s="7" t="n">
        <f aca="false">I6/I4</f>
        <v>0.240928571428571</v>
      </c>
      <c r="J7" s="7" t="n">
        <f aca="false">J6/J4</f>
        <v>0.310538028169014</v>
      </c>
      <c r="K7" s="7" t="n">
        <f aca="false">K6/K4</f>
        <v>0.310688571428571</v>
      </c>
      <c r="L7" s="7" t="n">
        <f aca="false">L6/L4</f>
        <v>0.309976</v>
      </c>
      <c r="M7" s="7" t="n">
        <f aca="false">M6/M4</f>
        <v>0.245475</v>
      </c>
      <c r="N7" s="7" t="n">
        <f aca="false">N6/N4</f>
        <v>0.296167138810198</v>
      </c>
    </row>
    <row r="8" customFormat="false" ht="12.8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2.8" hidden="false" customHeight="false" outlineLevel="0" collapsed="false">
      <c r="A9" s="6" t="s">
        <v>19</v>
      </c>
      <c r="B9" s="6" t="n">
        <f aca="false">$B$21*B23</f>
        <v>2184000</v>
      </c>
      <c r="C9" s="6" t="n">
        <f aca="false">$B$21*C23</f>
        <v>2860000</v>
      </c>
      <c r="D9" s="6" t="n">
        <f aca="false">$B$21*D23</f>
        <v>2912000</v>
      </c>
      <c r="E9" s="6" t="n">
        <f aca="false">$B$21*E23</f>
        <v>3120000</v>
      </c>
      <c r="F9" s="6" t="n">
        <f aca="false">$B$21*F23</f>
        <v>3276000</v>
      </c>
      <c r="G9" s="6" t="n">
        <f aca="false">$B$21*G23</f>
        <v>3380000</v>
      </c>
      <c r="H9" s="6" t="n">
        <f aca="false">$B$21*H23</f>
        <v>3484000</v>
      </c>
      <c r="I9" s="6" t="n">
        <f aca="false">$B$21*I23</f>
        <v>2184000</v>
      </c>
      <c r="J9" s="6" t="n">
        <f aca="false">$B$21*J23</f>
        <v>3692000</v>
      </c>
      <c r="K9" s="6" t="n">
        <f aca="false">$B$21*K23</f>
        <v>3640000</v>
      </c>
      <c r="L9" s="6" t="n">
        <f aca="false">$B$21*L23</f>
        <v>3900000</v>
      </c>
      <c r="M9" s="6" t="n">
        <f aca="false">$B$21*M23</f>
        <v>2080000</v>
      </c>
      <c r="N9" s="6" t="n">
        <f aca="false">SUM(B9:M9)</f>
        <v>36712000</v>
      </c>
      <c r="O9" s="7"/>
    </row>
    <row r="10" customFormat="false" ht="12.8" hidden="false" customHeight="false" outlineLevel="0" collapsed="false">
      <c r="A10" s="6" t="s">
        <v>20</v>
      </c>
      <c r="B10" s="6" t="n">
        <f aca="false">B33*$B$30</f>
        <v>644100</v>
      </c>
      <c r="C10" s="6" t="n">
        <f aca="false">C33*$B$30</f>
        <v>644100</v>
      </c>
      <c r="D10" s="6" t="n">
        <f aca="false">D33*$B$30</f>
        <v>644100</v>
      </c>
      <c r="E10" s="6" t="n">
        <f aca="false">E33*$B$30</f>
        <v>644100</v>
      </c>
      <c r="F10" s="6" t="n">
        <f aca="false">F33*$B$30</f>
        <v>644100</v>
      </c>
      <c r="G10" s="6" t="n">
        <f aca="false">G33*$B$30</f>
        <v>644100</v>
      </c>
      <c r="H10" s="6" t="n">
        <f aca="false">H33*$B$30</f>
        <v>644100</v>
      </c>
      <c r="I10" s="6" t="n">
        <f aca="false">I33*$B$30</f>
        <v>644100</v>
      </c>
      <c r="J10" s="6" t="n">
        <f aca="false">J33*$B$30</f>
        <v>644100</v>
      </c>
      <c r="K10" s="6" t="n">
        <f aca="false">K33*$B$30</f>
        <v>644100</v>
      </c>
      <c r="L10" s="6" t="n">
        <f aca="false">L33*$B$30</f>
        <v>644100</v>
      </c>
      <c r="M10" s="6" t="n">
        <f aca="false">M33*$B$30</f>
        <v>644100</v>
      </c>
      <c r="N10" s="6" t="n">
        <f aca="false">SUM(B10:M10)</f>
        <v>7729200</v>
      </c>
      <c r="O10" s="7"/>
    </row>
    <row r="11" customFormat="false" ht="12.8" hidden="false" customHeight="false" outlineLevel="0" collapsed="false">
      <c r="A11" s="6" t="s">
        <v>21</v>
      </c>
      <c r="B11" s="6" t="n">
        <f aca="false">B34*$B$31</f>
        <v>0</v>
      </c>
      <c r="C11" s="6" t="n">
        <f aca="false">C34*$B$31</f>
        <v>0</v>
      </c>
      <c r="D11" s="6" t="n">
        <f aca="false">D34*$B$31</f>
        <v>0</v>
      </c>
      <c r="E11" s="6" t="n">
        <f aca="false">E34*$B$31</f>
        <v>0</v>
      </c>
      <c r="F11" s="6" t="n">
        <f aca="false">F34*$B$31</f>
        <v>0</v>
      </c>
      <c r="G11" s="6" t="n">
        <f aca="false">G34*$B$31</f>
        <v>7080</v>
      </c>
      <c r="H11" s="6" t="n">
        <f aca="false">H34*$B$31</f>
        <v>31080</v>
      </c>
      <c r="I11" s="6" t="n">
        <f aca="false">I34*$B$31</f>
        <v>0</v>
      </c>
      <c r="J11" s="6" t="n">
        <f aca="false">J34*$B$31</f>
        <v>79080</v>
      </c>
      <c r="K11" s="6" t="n">
        <f aca="false">K34*$B$31</f>
        <v>67080</v>
      </c>
      <c r="L11" s="6" t="n">
        <f aca="false">L34*$B$31</f>
        <v>127080</v>
      </c>
      <c r="M11" s="6" t="n">
        <f aca="false">M34*$B$31</f>
        <v>0</v>
      </c>
      <c r="N11" s="6" t="n">
        <f aca="false">SUM(B11:M11)</f>
        <v>311400</v>
      </c>
      <c r="O11" s="7"/>
    </row>
    <row r="12" customFormat="false" ht="12.8" hidden="false" customHeight="false" outlineLevel="0" collapsed="false">
      <c r="A12" s="6" t="s">
        <v>22</v>
      </c>
      <c r="B12" s="6" t="n">
        <f aca="false">$B$26*B27</f>
        <v>252000</v>
      </c>
      <c r="C12" s="6" t="n">
        <f aca="false">$B$26*C27</f>
        <v>330000</v>
      </c>
      <c r="D12" s="6" t="n">
        <f aca="false">$B$26*D27</f>
        <v>336000</v>
      </c>
      <c r="E12" s="6" t="n">
        <f aca="false">$B$26*E27</f>
        <v>360000</v>
      </c>
      <c r="F12" s="6" t="n">
        <f aca="false">$B$26*F27</f>
        <v>378000</v>
      </c>
      <c r="G12" s="6" t="n">
        <f aca="false">$B$26*G27</f>
        <v>390000</v>
      </c>
      <c r="H12" s="6" t="n">
        <f aca="false">$B$26*H27</f>
        <v>402000</v>
      </c>
      <c r="I12" s="6" t="n">
        <f aca="false">$B$26*I27</f>
        <v>252000</v>
      </c>
      <c r="J12" s="6" t="n">
        <f aca="false">$B$26*J27</f>
        <v>426000</v>
      </c>
      <c r="K12" s="6" t="n">
        <f aca="false">$B$26*K27</f>
        <v>420000</v>
      </c>
      <c r="L12" s="6" t="n">
        <f aca="false">$B$26*L27</f>
        <v>450000</v>
      </c>
      <c r="M12" s="6" t="n">
        <f aca="false">$B$26*M27</f>
        <v>240000</v>
      </c>
      <c r="N12" s="6" t="n">
        <f aca="false">SUM(B12:M12)</f>
        <v>4236000</v>
      </c>
      <c r="O12" s="7"/>
    </row>
    <row r="13" customFormat="false" ht="12.8" hidden="false" customHeight="false" outlineLevel="0" collapsed="false">
      <c r="A13" s="6" t="s">
        <v>23</v>
      </c>
      <c r="B13" s="6" t="n">
        <v>54000</v>
      </c>
      <c r="C13" s="6" t="n">
        <v>54000</v>
      </c>
      <c r="D13" s="6" t="n">
        <v>54000</v>
      </c>
      <c r="E13" s="6" t="n">
        <v>54000</v>
      </c>
      <c r="F13" s="6" t="n">
        <v>54000</v>
      </c>
      <c r="G13" s="6" t="n">
        <v>54000</v>
      </c>
      <c r="H13" s="6" t="n">
        <v>54000</v>
      </c>
      <c r="I13" s="6" t="n">
        <v>108000</v>
      </c>
      <c r="J13" s="6" t="n">
        <v>54000</v>
      </c>
      <c r="K13" s="6" t="n">
        <v>54000</v>
      </c>
      <c r="L13" s="6" t="n">
        <v>54000</v>
      </c>
      <c r="M13" s="6" t="n">
        <v>54000</v>
      </c>
      <c r="N13" s="6" t="n">
        <f aca="false">SUM(B13:M13)</f>
        <v>702000</v>
      </c>
      <c r="O13" s="7"/>
    </row>
    <row r="14" customFormat="false" ht="12.8" hidden="false" customHeight="false" outlineLevel="0" collapsed="false">
      <c r="A14" s="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customFormat="false" ht="12.8" hidden="false" customHeight="false" outlineLevel="0" collapsed="false">
      <c r="A15" s="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="3" customFormat="true" ht="12.8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customFormat="false" ht="12.8" hidden="false" customHeight="false" outlineLevel="0" collapsed="false">
      <c r="A17" s="4" t="s">
        <v>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2.8" hidden="false" customHeight="false" outlineLevel="0" collapsed="false">
      <c r="A18" s="1" t="s">
        <v>25</v>
      </c>
      <c r="B18" s="1" t="n">
        <v>5000</v>
      </c>
    </row>
    <row r="19" customFormat="false" ht="12.8" hidden="false" customHeight="false" outlineLevel="0" collapsed="false">
      <c r="A19" s="1" t="s">
        <v>26</v>
      </c>
      <c r="B19" s="1" t="n">
        <v>840</v>
      </c>
      <c r="C19" s="1" t="n">
        <v>1100</v>
      </c>
      <c r="D19" s="1" t="n">
        <v>1120</v>
      </c>
      <c r="E19" s="1" t="n">
        <v>1200</v>
      </c>
      <c r="F19" s="1" t="n">
        <v>1260</v>
      </c>
      <c r="G19" s="1" t="n">
        <v>1300</v>
      </c>
      <c r="H19" s="1" t="n">
        <v>1340</v>
      </c>
      <c r="I19" s="1" t="n">
        <v>840</v>
      </c>
      <c r="J19" s="1" t="n">
        <v>1420</v>
      </c>
      <c r="K19" s="1" t="n">
        <v>1400</v>
      </c>
      <c r="L19" s="1" t="n">
        <v>1500</v>
      </c>
      <c r="M19" s="1" t="n">
        <v>800</v>
      </c>
    </row>
    <row r="21" customFormat="false" ht="12.8" hidden="false" customHeight="false" outlineLevel="0" collapsed="false">
      <c r="A21" s="1" t="s">
        <v>27</v>
      </c>
      <c r="B21" s="1" t="n">
        <v>1300</v>
      </c>
    </row>
    <row r="22" customFormat="false" ht="12.8" hidden="false" customHeight="false" outlineLevel="0" collapsed="false">
      <c r="A22" s="1" t="s">
        <v>28</v>
      </c>
      <c r="B22" s="1" t="n">
        <v>2</v>
      </c>
    </row>
    <row r="23" customFormat="false" ht="12.8" hidden="false" customHeight="false" outlineLevel="0" collapsed="false">
      <c r="A23" s="1" t="s">
        <v>29</v>
      </c>
      <c r="B23" s="1" t="n">
        <f aca="false">$B$22*B19</f>
        <v>1680</v>
      </c>
      <c r="C23" s="1" t="n">
        <f aca="false">$B$22*C19</f>
        <v>2200</v>
      </c>
      <c r="D23" s="1" t="n">
        <f aca="false">$B$22*D19</f>
        <v>2240</v>
      </c>
      <c r="E23" s="1" t="n">
        <f aca="false">$B$22*E19</f>
        <v>2400</v>
      </c>
      <c r="F23" s="1" t="n">
        <f aca="false">$B$22*F19</f>
        <v>2520</v>
      </c>
      <c r="G23" s="1" t="n">
        <f aca="false">$B$22*G19</f>
        <v>2600</v>
      </c>
      <c r="H23" s="1" t="n">
        <f aca="false">$B$22*H19</f>
        <v>2680</v>
      </c>
      <c r="I23" s="1" t="n">
        <f aca="false">$B$22*I19</f>
        <v>1680</v>
      </c>
      <c r="J23" s="1" t="n">
        <f aca="false">$B$22*J19</f>
        <v>2840</v>
      </c>
      <c r="K23" s="1" t="n">
        <f aca="false">$B$22*K19</f>
        <v>2800</v>
      </c>
      <c r="L23" s="1" t="n">
        <f aca="false">$B$22*L19</f>
        <v>3000</v>
      </c>
      <c r="M23" s="1" t="n">
        <f aca="false">$B$22*M19</f>
        <v>1600</v>
      </c>
    </row>
    <row r="25" customFormat="false" ht="12.8" hidden="false" customHeight="false" outlineLevel="0" collapsed="false">
      <c r="A25" s="1" t="s">
        <v>30</v>
      </c>
      <c r="B25" s="1" t="n">
        <v>10</v>
      </c>
    </row>
    <row r="26" customFormat="false" ht="12.8" hidden="false" customHeight="false" outlineLevel="0" collapsed="false">
      <c r="A26" s="1" t="s">
        <v>31</v>
      </c>
      <c r="B26" s="1" t="n">
        <v>1500</v>
      </c>
    </row>
    <row r="27" customFormat="false" ht="12.8" hidden="false" customHeight="false" outlineLevel="0" collapsed="false">
      <c r="A27" s="1" t="s">
        <v>32</v>
      </c>
      <c r="B27" s="1" t="n">
        <f aca="false">ROUNDUP(B23/$B$25,0)</f>
        <v>168</v>
      </c>
      <c r="C27" s="1" t="n">
        <f aca="false">ROUNDUP(C23/$B$25,0)</f>
        <v>220</v>
      </c>
      <c r="D27" s="1" t="n">
        <f aca="false">ROUNDUP(D23/$B$25,0)</f>
        <v>224</v>
      </c>
      <c r="E27" s="1" t="n">
        <f aca="false">ROUNDUP(E23/$B$25,0)</f>
        <v>240</v>
      </c>
      <c r="F27" s="1" t="n">
        <f aca="false">ROUNDUP(F23/$B$25,0)</f>
        <v>252</v>
      </c>
      <c r="G27" s="1" t="n">
        <f aca="false">ROUNDUP(G23/$B$25,0)</f>
        <v>260</v>
      </c>
      <c r="H27" s="1" t="n">
        <f aca="false">ROUNDUP(H23/$B$25,0)</f>
        <v>268</v>
      </c>
      <c r="I27" s="1" t="n">
        <f aca="false">ROUNDUP(I23/$B$25,0)</f>
        <v>168</v>
      </c>
      <c r="J27" s="1" t="n">
        <f aca="false">ROUNDUP(J23/$B$25,0)</f>
        <v>284</v>
      </c>
      <c r="K27" s="1" t="n">
        <f aca="false">ROUNDUP(K23/$B$25,0)</f>
        <v>280</v>
      </c>
      <c r="L27" s="1" t="n">
        <f aca="false">ROUNDUP(L23/$B$25,0)</f>
        <v>300</v>
      </c>
      <c r="M27" s="1" t="n">
        <f aca="false">ROUNDUP(M23/$B$25,0)</f>
        <v>160</v>
      </c>
    </row>
    <row r="29" customFormat="false" ht="12.8" hidden="false" customHeight="false" outlineLevel="0" collapsed="false">
      <c r="A29" s="1" t="s">
        <v>33</v>
      </c>
      <c r="B29" s="1" t="n">
        <v>85</v>
      </c>
    </row>
    <row r="30" customFormat="false" ht="12.8" hidden="false" customHeight="false" outlineLevel="0" collapsed="false">
      <c r="A30" s="1" t="s">
        <v>34</v>
      </c>
      <c r="B30" s="1" t="n">
        <v>50</v>
      </c>
    </row>
    <row r="31" customFormat="false" ht="12.8" hidden="false" customHeight="false" outlineLevel="0" collapsed="false">
      <c r="A31" s="1" t="s">
        <v>35</v>
      </c>
      <c r="B31" s="1" t="n">
        <f aca="false">B30*1.2</f>
        <v>60</v>
      </c>
    </row>
    <row r="32" customFormat="false" ht="12.8" hidden="false" customHeight="false" outlineLevel="0" collapsed="false">
      <c r="A32" s="1" t="s">
        <v>36</v>
      </c>
      <c r="B32" s="1" t="n">
        <v>10</v>
      </c>
    </row>
    <row r="33" customFormat="false" ht="12.8" hidden="false" customHeight="false" outlineLevel="0" collapsed="false">
      <c r="A33" s="1" t="s">
        <v>37</v>
      </c>
      <c r="B33" s="1" t="n">
        <f aca="false">ROUND($B$29*(35*4.33),0)</f>
        <v>12882</v>
      </c>
      <c r="C33" s="1" t="n">
        <f aca="false">ROUND($B$29*(35*4.33),0)</f>
        <v>12882</v>
      </c>
      <c r="D33" s="1" t="n">
        <f aca="false">ROUND($B$29*(35*4.33),0)</f>
        <v>12882</v>
      </c>
      <c r="E33" s="1" t="n">
        <f aca="false">ROUND($B$29*(35*4.33),0)</f>
        <v>12882</v>
      </c>
      <c r="F33" s="1" t="n">
        <f aca="false">ROUND($B$29*(35*4.33),0)</f>
        <v>12882</v>
      </c>
      <c r="G33" s="1" t="n">
        <f aca="false">ROUND($B$29*(35*4.33),0)</f>
        <v>12882</v>
      </c>
      <c r="H33" s="1" t="n">
        <f aca="false">ROUND($B$29*(35*4.33),0)</f>
        <v>12882</v>
      </c>
      <c r="I33" s="1" t="n">
        <f aca="false">ROUND($B$29*(35*4.33),0)</f>
        <v>12882</v>
      </c>
      <c r="J33" s="1" t="n">
        <f aca="false">ROUND($B$29*(35*4.33),0)</f>
        <v>12882</v>
      </c>
      <c r="K33" s="1" t="n">
        <f aca="false">ROUND($B$29*(35*4.33),0)</f>
        <v>12882</v>
      </c>
      <c r="L33" s="1" t="n">
        <f aca="false">ROUND($B$29*(35*4.33),0)</f>
        <v>12882</v>
      </c>
      <c r="M33" s="1" t="n">
        <f aca="false">ROUND($B$29*(35*4.33),0)</f>
        <v>12882</v>
      </c>
    </row>
    <row r="34" customFormat="false" ht="12.8" hidden="false" customHeight="false" outlineLevel="0" collapsed="false">
      <c r="A34" s="1" t="s">
        <v>38</v>
      </c>
      <c r="B34" s="1" t="n">
        <f aca="false">MAX($B$32*B19-B33, 0)</f>
        <v>0</v>
      </c>
      <c r="C34" s="1" t="n">
        <f aca="false">MAX($B$32*C19-C33, 0)</f>
        <v>0</v>
      </c>
      <c r="D34" s="1" t="n">
        <f aca="false">MAX($B$32*D19-D33, 0)</f>
        <v>0</v>
      </c>
      <c r="E34" s="1" t="n">
        <f aca="false">MAX($B$32*E19-E33, 0)</f>
        <v>0</v>
      </c>
      <c r="F34" s="1" t="n">
        <f aca="false">MAX($B$32*F19-F33, 0)</f>
        <v>0</v>
      </c>
      <c r="G34" s="1" t="n">
        <f aca="false">MAX($B$32*G19-G33, 0)</f>
        <v>118</v>
      </c>
      <c r="H34" s="1" t="n">
        <f aca="false">MAX($B$32*H19-H33, 0)</f>
        <v>518</v>
      </c>
      <c r="I34" s="1" t="n">
        <f aca="false">MAX($B$32*I19-I33, 0)</f>
        <v>0</v>
      </c>
      <c r="J34" s="1" t="n">
        <f aca="false">MAX($B$32*J19-J33, 0)</f>
        <v>1318</v>
      </c>
      <c r="K34" s="1" t="n">
        <f aca="false">MAX($B$32*K19-K33, 0)</f>
        <v>1118</v>
      </c>
      <c r="L34" s="1" t="n">
        <f aca="false">MAX($B$32*L19-L33, 0)</f>
        <v>2118</v>
      </c>
      <c r="M34" s="1" t="n">
        <f aca="false">MAX($B$32*M19-M33, 0)</f>
        <v>0</v>
      </c>
    </row>
  </sheetData>
  <mergeCells count="1">
    <mergeCell ref="A1:N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2026-08-31T00:54:27Z</dcterms:created>
  <dc:creator/>
  <dc:description/>
  <dc:language>en-US</dc:language>
  <cp:lastModifiedBy/>
  <dcterms:modified xsi:type="dcterms:W3CDTF">2026-09-29T03:54:16Z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